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ton Pricing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<sst xmlns="http://schemas.openxmlformats.org/spreadsheetml/2006/main" count="109" uniqueCount="59">
  <si>
    <t xml:space="preserve">Newton Immigration  Service Fee Schedule (2026)</t>
  </si>
  <si>
    <t xml:space="preserve">Fee is BEFORE tax. GST (5%) is added on top; Client Total (col E) is what the client pays. IRCC / embassy fees (col F) are pass-through and NOT taxed. Blue = editable fee.</t>
  </si>
  <si>
    <t xml:space="preserve">Service</t>
  </si>
  <si>
    <t xml:space="preserve">Category</t>
  </si>
  <si>
    <t xml:space="preserve">Fee before tax (CAD)</t>
  </si>
  <si>
    <t xml:space="preserve">GST (5%)</t>
  </si>
  <si>
    <t xml:space="preserve">Client Total incl. GST (CAD)</t>
  </si>
  <si>
    <t xml:space="preserve">IRCC / Embassy (pass-through)</t>
  </si>
  <si>
    <t xml:space="preserve">Notes</t>
  </si>
  <si>
    <t xml:space="preserve">Study &amp; Education</t>
  </si>
  <si>
    <t xml:space="preserve">PGWP (Post-Graduate Work Permit)</t>
  </si>
  <si>
    <t xml:space="preserve">IRCC $255</t>
  </si>
  <si>
    <t xml:space="preserve">Extension same. Paper application also same.</t>
  </si>
  <si>
    <t xml:space="preserve">Study Permit Extension</t>
  </si>
  <si>
    <t xml:space="preserve">IRCC $150</t>
  </si>
  <si>
    <t xml:space="preserve">Study Permit (outside Canada / WP-&gt;study / visitor-&gt;study)</t>
  </si>
  <si>
    <t xml:space="preserve">IRCC on client card</t>
  </si>
  <si>
    <t xml:space="preserve">College Change</t>
  </si>
  <si>
    <t xml:space="preserve">-</t>
  </si>
  <si>
    <t xml:space="preserve">Offer letter NOT included (charged separately).</t>
  </si>
  <si>
    <t xml:space="preserve">Work Permits</t>
  </si>
  <si>
    <t xml:space="preserve">BOWP (Bridging Open Work Permit)</t>
  </si>
  <si>
    <t xml:space="preserve">LMIA-based Work Permit</t>
  </si>
  <si>
    <t xml:space="preserve">Includes job offer + employment contract.</t>
  </si>
  <si>
    <t xml:space="preserve">SOWP - Inside Canada</t>
  </si>
  <si>
    <t xml:space="preserve">SOWP - Outside Canada</t>
  </si>
  <si>
    <t xml:space="preserve">SOWP Extension</t>
  </si>
  <si>
    <t xml:space="preserve">IRCC from client card</t>
  </si>
  <si>
    <t xml:space="preserve">Vulnerable Open Work Permit</t>
  </si>
  <si>
    <t xml:space="preserve">Verification of Status</t>
  </si>
  <si>
    <t xml:space="preserve">Visit &amp; Temporary</t>
  </si>
  <si>
    <t xml:space="preserve">Visitor Visa</t>
  </si>
  <si>
    <t xml:space="preserve">IRCC $185</t>
  </si>
  <si>
    <t xml:space="preserve">Visitor Record</t>
  </si>
  <si>
    <t xml:space="preserve">IRCC $100</t>
  </si>
  <si>
    <t xml:space="preserve">TRV / Stamping</t>
  </si>
  <si>
    <t xml:space="preserve">Embassy $100</t>
  </si>
  <si>
    <t xml:space="preserve">Super Visa</t>
  </si>
  <si>
    <t xml:space="preserve">TRP (Temporary Resident Permit)</t>
  </si>
  <si>
    <t xml:space="preserve">Restoration</t>
  </si>
  <si>
    <t xml:space="preserve">Embassy $230</t>
  </si>
  <si>
    <t xml:space="preserve">Restoration alone.</t>
  </si>
  <si>
    <t xml:space="preserve">Restoration + Study Permit</t>
  </si>
  <si>
    <t xml:space="preserve">IRCC $240 + $150</t>
  </si>
  <si>
    <t xml:space="preserve">US Application</t>
  </si>
  <si>
    <t xml:space="preserve">E-Visa</t>
  </si>
  <si>
    <t xml:space="preserve">PR &amp; Citizenship</t>
  </si>
  <si>
    <t xml:space="preserve">Express Entry - Profile Creation</t>
  </si>
  <si>
    <t xml:space="preserve">Express Entry - After ITA</t>
  </si>
  <si>
    <t xml:space="preserve">PNP + PR</t>
  </si>
  <si>
    <t xml:space="preserve">PNP only</t>
  </si>
  <si>
    <t xml:space="preserve">Spousal Sponsorship - Inside Canada</t>
  </si>
  <si>
    <t xml:space="preserve">Spousal Sponsorship - Outside Canada</t>
  </si>
  <si>
    <t xml:space="preserve">PR Card Renewal</t>
  </si>
  <si>
    <t xml:space="preserve">Citizenship</t>
  </si>
  <si>
    <t xml:space="preserve">Other Services</t>
  </si>
  <si>
    <t xml:space="preserve">Consultation (15 min)</t>
  </si>
  <si>
    <t xml:space="preserve">ATIP Notes</t>
  </si>
  <si>
    <t xml:space="preserve">TOTALS -&gt;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</si>
</sst>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392B"/>
        <bgColor rgb="FF922B21"/>
      </patternFill>
    </fill>
    <fill>
      <patternFill patternType="solid">
        <fgColor rgb="FF922B21"/>
        <bgColor rgb="FF993366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2CC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22B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8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10</v>
      </c>
      <c r="B5" s="5" t="s">
        <v>9</v>
      </c>
      <c r="C5" s="6" t="n">
        <v>300</v>
      </c>
      <c r="D5" s="7" t="n">
        <f aca="false">C5*0.05</f>
        <v>15</v>
      </c>
      <c r="E5" s="8" t="n">
        <f aca="false">C5*1.05</f>
        <v>315</v>
      </c>
      <c r="F5" s="5" t="s">
        <v>11</v>
      </c>
      <c r="G5" s="9" t="s">
        <v>12</v>
      </c>
    </row>
    <row r="6" customFormat="false" ht="15" hidden="false" customHeight="false" outlineLevel="0" collapsed="false">
      <c r="A6" s="5" t="s">
        <v>13</v>
      </c>
      <c r="B6" s="5" t="s">
        <v>9</v>
      </c>
      <c r="C6" s="6" t="n">
        <v>400</v>
      </c>
      <c r="D6" s="7" t="n">
        <f aca="false">C6*0.05</f>
        <v>20</v>
      </c>
      <c r="E6" s="8" t="n">
        <f aca="false">C6*1.05</f>
        <v>420</v>
      </c>
      <c r="F6" s="5" t="s">
        <v>14</v>
      </c>
      <c r="G6" s="9"/>
    </row>
    <row r="7" customFormat="false" ht="23.85" hidden="false" customHeight="false" outlineLevel="0" collapsed="false">
      <c r="A7" s="5" t="s">
        <v>15</v>
      </c>
      <c r="B7" s="5" t="s">
        <v>9</v>
      </c>
      <c r="C7" s="6" t="n">
        <v>1000</v>
      </c>
      <c r="D7" s="7" t="n">
        <f aca="false">C7*0.05</f>
        <v>50</v>
      </c>
      <c r="E7" s="8" t="n">
        <f aca="false">C7*1.05</f>
        <v>1050</v>
      </c>
      <c r="F7" s="5" t="s">
        <v>16</v>
      </c>
      <c r="G7" s="9"/>
    </row>
    <row r="8" customFormat="false" ht="15" hidden="false" customHeight="false" outlineLevel="0" collapsed="false">
      <c r="A8" s="5" t="s">
        <v>17</v>
      </c>
      <c r="B8" s="5" t="s">
        <v>9</v>
      </c>
      <c r="C8" s="6" t="n">
        <v>150</v>
      </c>
      <c r="D8" s="7" t="n">
        <f aca="false">C8*0.05</f>
        <v>7.5</v>
      </c>
      <c r="E8" s="8" t="n">
        <f aca="false">C8*1.05</f>
        <v>157.5</v>
      </c>
      <c r="F8" s="5" t="s">
        <v>18</v>
      </c>
      <c r="G8" s="9" t="s">
        <v>19</v>
      </c>
    </row>
    <row r="9" customFormat="false" ht="18" hidden="false" customHeight="true" outlineLevel="0" collapsed="false">
      <c r="A9" s="4" t="s">
        <v>20</v>
      </c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5" t="s">
        <v>21</v>
      </c>
      <c r="B10" s="5" t="s">
        <v>20</v>
      </c>
      <c r="C10" s="6" t="n">
        <v>800</v>
      </c>
      <c r="D10" s="7" t="n">
        <f aca="false">C10*0.05</f>
        <v>40</v>
      </c>
      <c r="E10" s="8" t="n">
        <f aca="false">C10*1.05</f>
        <v>840</v>
      </c>
      <c r="F10" s="5" t="s">
        <v>18</v>
      </c>
      <c r="G10" s="9"/>
    </row>
    <row r="11" customFormat="false" ht="15" hidden="false" customHeight="false" outlineLevel="0" collapsed="false">
      <c r="A11" s="5" t="s">
        <v>22</v>
      </c>
      <c r="B11" s="5" t="s">
        <v>20</v>
      </c>
      <c r="C11" s="6" t="n">
        <v>2000</v>
      </c>
      <c r="D11" s="7" t="n">
        <f aca="false">C11*0.05</f>
        <v>100</v>
      </c>
      <c r="E11" s="8" t="n">
        <f aca="false">C11*1.05</f>
        <v>2100</v>
      </c>
      <c r="F11" s="5" t="s">
        <v>18</v>
      </c>
      <c r="G11" s="9" t="s">
        <v>23</v>
      </c>
    </row>
    <row r="12" customFormat="false" ht="15" hidden="false" customHeight="false" outlineLevel="0" collapsed="false">
      <c r="A12" s="5" t="s">
        <v>24</v>
      </c>
      <c r="B12" s="5" t="s">
        <v>20</v>
      </c>
      <c r="C12" s="6" t="n">
        <v>2000</v>
      </c>
      <c r="D12" s="7" t="n">
        <f aca="false">C12*0.05</f>
        <v>100</v>
      </c>
      <c r="E12" s="8" t="n">
        <f aca="false">C12*1.05</f>
        <v>2100</v>
      </c>
      <c r="F12" s="5" t="s">
        <v>18</v>
      </c>
      <c r="G12" s="9"/>
    </row>
    <row r="13" customFormat="false" ht="15" hidden="false" customHeight="false" outlineLevel="0" collapsed="false">
      <c r="A13" s="5" t="s">
        <v>25</v>
      </c>
      <c r="B13" s="5" t="s">
        <v>20</v>
      </c>
      <c r="C13" s="6" t="n">
        <v>3000</v>
      </c>
      <c r="D13" s="7" t="n">
        <f aca="false">C13*0.05</f>
        <v>150</v>
      </c>
      <c r="E13" s="8" t="n">
        <f aca="false">C13*1.05</f>
        <v>3150</v>
      </c>
      <c r="F13" s="5" t="s">
        <v>18</v>
      </c>
      <c r="G13" s="9"/>
    </row>
    <row r="14" customFormat="false" ht="15" hidden="false" customHeight="false" outlineLevel="0" collapsed="false">
      <c r="A14" s="5" t="s">
        <v>26</v>
      </c>
      <c r="B14" s="5" t="s">
        <v>20</v>
      </c>
      <c r="C14" s="6" t="n">
        <v>1500</v>
      </c>
      <c r="D14" s="7" t="n">
        <f aca="false">C14*0.05</f>
        <v>75</v>
      </c>
      <c r="E14" s="8" t="n">
        <f aca="false">C14*1.05</f>
        <v>1575</v>
      </c>
      <c r="F14" s="5" t="s">
        <v>27</v>
      </c>
      <c r="G14" s="9"/>
    </row>
    <row r="15" customFormat="false" ht="15" hidden="false" customHeight="false" outlineLevel="0" collapsed="false">
      <c r="A15" s="5" t="s">
        <v>28</v>
      </c>
      <c r="B15" s="5" t="s">
        <v>20</v>
      </c>
      <c r="C15" s="6" t="n">
        <v>2000</v>
      </c>
      <c r="D15" s="7" t="n">
        <f aca="false">C15*0.05</f>
        <v>100</v>
      </c>
      <c r="E15" s="8" t="n">
        <f aca="false">C15*1.05</f>
        <v>2100</v>
      </c>
      <c r="F15" s="5" t="s">
        <v>18</v>
      </c>
      <c r="G15" s="9"/>
    </row>
    <row r="16" customFormat="false" ht="15" hidden="false" customHeight="false" outlineLevel="0" collapsed="false">
      <c r="A16" s="5" t="s">
        <v>29</v>
      </c>
      <c r="B16" s="5" t="s">
        <v>20</v>
      </c>
      <c r="C16" s="6" t="n">
        <v>300</v>
      </c>
      <c r="D16" s="7" t="n">
        <f aca="false">C16*0.05</f>
        <v>15</v>
      </c>
      <c r="E16" s="8" t="n">
        <f aca="false">C16*1.05</f>
        <v>315</v>
      </c>
      <c r="F16" s="5" t="s">
        <v>18</v>
      </c>
      <c r="G16" s="9"/>
    </row>
    <row r="17" customFormat="false" ht="18" hidden="false" customHeight="true" outlineLevel="0" collapsed="false">
      <c r="A17" s="4" t="s">
        <v>30</v>
      </c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5" t="s">
        <v>31</v>
      </c>
      <c r="B18" s="5" t="s">
        <v>30</v>
      </c>
      <c r="C18" s="6" t="n">
        <v>1000</v>
      </c>
      <c r="D18" s="7" t="n">
        <f aca="false">C18*0.05</f>
        <v>50</v>
      </c>
      <c r="E18" s="8" t="n">
        <f aca="false">C18*1.05</f>
        <v>1050</v>
      </c>
      <c r="F18" s="5" t="s">
        <v>32</v>
      </c>
      <c r="G18" s="9"/>
    </row>
    <row r="19" customFormat="false" ht="15" hidden="false" customHeight="false" outlineLevel="0" collapsed="false">
      <c r="A19" s="5" t="s">
        <v>33</v>
      </c>
      <c r="B19" s="5" t="s">
        <v>30</v>
      </c>
      <c r="C19" s="6" t="n">
        <v>300</v>
      </c>
      <c r="D19" s="7" t="n">
        <f aca="false">C19*0.05</f>
        <v>15</v>
      </c>
      <c r="E19" s="8" t="n">
        <f aca="false">C19*1.05</f>
        <v>315</v>
      </c>
      <c r="F19" s="5" t="s">
        <v>34</v>
      </c>
      <c r="G19" s="9"/>
    </row>
    <row r="20" customFormat="false" ht="15" hidden="false" customHeight="false" outlineLevel="0" collapsed="false">
      <c r="A20" s="5" t="s">
        <v>35</v>
      </c>
      <c r="B20" s="5" t="s">
        <v>30</v>
      </c>
      <c r="C20" s="6" t="n">
        <v>300</v>
      </c>
      <c r="D20" s="7" t="n">
        <f aca="false">C20*0.05</f>
        <v>15</v>
      </c>
      <c r="E20" s="8" t="n">
        <f aca="false">C20*1.05</f>
        <v>315</v>
      </c>
      <c r="F20" s="5" t="s">
        <v>36</v>
      </c>
      <c r="G20" s="9"/>
    </row>
    <row r="21" customFormat="false" ht="15" hidden="false" customHeight="false" outlineLevel="0" collapsed="false">
      <c r="A21" s="5" t="s">
        <v>37</v>
      </c>
      <c r="B21" s="5" t="s">
        <v>30</v>
      </c>
      <c r="C21" s="6" t="n">
        <v>1500</v>
      </c>
      <c r="D21" s="7" t="n">
        <f aca="false">C21*0.05</f>
        <v>75</v>
      </c>
      <c r="E21" s="8" t="n">
        <f aca="false">C21*1.05</f>
        <v>1575</v>
      </c>
      <c r="F21" s="5" t="s">
        <v>32</v>
      </c>
      <c r="G21" s="9"/>
    </row>
    <row r="22" customFormat="false" ht="15" hidden="false" customHeight="false" outlineLevel="0" collapsed="false">
      <c r="A22" s="5" t="s">
        <v>38</v>
      </c>
      <c r="B22" s="5" t="s">
        <v>30</v>
      </c>
      <c r="C22" s="6" t="n">
        <v>2000</v>
      </c>
      <c r="D22" s="7" t="n">
        <f aca="false">C22*0.05</f>
        <v>100</v>
      </c>
      <c r="E22" s="8" t="n">
        <f aca="false">C22*1.05</f>
        <v>2100</v>
      </c>
      <c r="F22" s="5" t="s">
        <v>18</v>
      </c>
      <c r="G22" s="9"/>
    </row>
    <row r="23" customFormat="false" ht="15" hidden="false" customHeight="false" outlineLevel="0" collapsed="false">
      <c r="A23" s="5" t="s">
        <v>39</v>
      </c>
      <c r="B23" s="5" t="s">
        <v>30</v>
      </c>
      <c r="C23" s="6" t="n">
        <v>500</v>
      </c>
      <c r="D23" s="7" t="n">
        <f aca="false">C23*0.05</f>
        <v>25</v>
      </c>
      <c r="E23" s="8" t="n">
        <f aca="false">C23*1.05</f>
        <v>525</v>
      </c>
      <c r="F23" s="5" t="s">
        <v>40</v>
      </c>
      <c r="G23" s="9" t="s">
        <v>41</v>
      </c>
    </row>
    <row r="24" customFormat="false" ht="15" hidden="false" customHeight="false" outlineLevel="0" collapsed="false">
      <c r="A24" s="5" t="s">
        <v>42</v>
      </c>
      <c r="B24" s="5" t="s">
        <v>30</v>
      </c>
      <c r="C24" s="6" t="n">
        <v>800</v>
      </c>
      <c r="D24" s="7" t="n">
        <f aca="false">C24*0.05</f>
        <v>40</v>
      </c>
      <c r="E24" s="8" t="n">
        <f aca="false">C24*1.05</f>
        <v>840</v>
      </c>
      <c r="F24" s="5" t="s">
        <v>43</v>
      </c>
      <c r="G24" s="9"/>
    </row>
    <row r="25" customFormat="false" ht="15" hidden="false" customHeight="false" outlineLevel="0" collapsed="false">
      <c r="A25" s="5" t="s">
        <v>44</v>
      </c>
      <c r="B25" s="5" t="s">
        <v>30</v>
      </c>
      <c r="C25" s="6" t="n">
        <v>300</v>
      </c>
      <c r="D25" s="7" t="n">
        <f aca="false">C25*0.05</f>
        <v>15</v>
      </c>
      <c r="E25" s="8" t="n">
        <f aca="false">C25*1.05</f>
        <v>315</v>
      </c>
      <c r="F25" s="5" t="s">
        <v>18</v>
      </c>
      <c r="G25" s="9"/>
    </row>
    <row r="26" customFormat="false" ht="15" hidden="false" customHeight="false" outlineLevel="0" collapsed="false">
      <c r="A26" s="5" t="s">
        <v>45</v>
      </c>
      <c r="B26" s="5" t="s">
        <v>30</v>
      </c>
      <c r="C26" s="6" t="n">
        <v>250</v>
      </c>
      <c r="D26" s="7" t="n">
        <f aca="false">C26*0.05</f>
        <v>12.5</v>
      </c>
      <c r="E26" s="8" t="n">
        <f aca="false">C26*1.05</f>
        <v>262.5</v>
      </c>
      <c r="F26" s="5" t="s">
        <v>18</v>
      </c>
      <c r="G26" s="9"/>
    </row>
    <row r="27" customFormat="false" ht="18" hidden="false" customHeight="true" outlineLevel="0" collapsed="false">
      <c r="A27" s="4" t="s">
        <v>46</v>
      </c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5" t="s">
        <v>47</v>
      </c>
      <c r="B28" s="5" t="s">
        <v>46</v>
      </c>
      <c r="C28" s="6" t="n">
        <v>800</v>
      </c>
      <c r="D28" s="7" t="n">
        <f aca="false">C28*0.05</f>
        <v>40</v>
      </c>
      <c r="E28" s="8" t="n">
        <f aca="false">C28*1.05</f>
        <v>840</v>
      </c>
      <c r="F28" s="5" t="s">
        <v>18</v>
      </c>
      <c r="G28" s="9"/>
    </row>
    <row r="29" customFormat="false" ht="15" hidden="false" customHeight="false" outlineLevel="0" collapsed="false">
      <c r="A29" s="5" t="s">
        <v>48</v>
      </c>
      <c r="B29" s="5" t="s">
        <v>46</v>
      </c>
      <c r="C29" s="6" t="n">
        <v>3000</v>
      </c>
      <c r="D29" s="7" t="n">
        <f aca="false">C29*0.05</f>
        <v>150</v>
      </c>
      <c r="E29" s="8" t="n">
        <f aca="false">C29*1.05</f>
        <v>3150</v>
      </c>
      <c r="F29" s="5" t="s">
        <v>18</v>
      </c>
      <c r="G29" s="9"/>
    </row>
    <row r="30" customFormat="false" ht="15" hidden="false" customHeight="false" outlineLevel="0" collapsed="false">
      <c r="A30" s="5" t="s">
        <v>49</v>
      </c>
      <c r="B30" s="5" t="s">
        <v>46</v>
      </c>
      <c r="C30" s="6" t="n">
        <v>3000</v>
      </c>
      <c r="D30" s="7" t="n">
        <f aca="false">C30*0.05</f>
        <v>150</v>
      </c>
      <c r="E30" s="8" t="n">
        <f aca="false">C30*1.05</f>
        <v>3150</v>
      </c>
      <c r="F30" s="5" t="s">
        <v>18</v>
      </c>
      <c r="G30" s="9"/>
    </row>
    <row r="31" customFormat="false" ht="15" hidden="false" customHeight="false" outlineLevel="0" collapsed="false">
      <c r="A31" s="5" t="s">
        <v>50</v>
      </c>
      <c r="B31" s="5" t="s">
        <v>46</v>
      </c>
      <c r="C31" s="6" t="n">
        <v>2000</v>
      </c>
      <c r="D31" s="7" t="n">
        <f aca="false">C31*0.05</f>
        <v>100</v>
      </c>
      <c r="E31" s="8" t="n">
        <f aca="false">C31*1.05</f>
        <v>2100</v>
      </c>
      <c r="F31" s="5" t="s">
        <v>18</v>
      </c>
      <c r="G31" s="9"/>
    </row>
    <row r="32" customFormat="false" ht="15" hidden="false" customHeight="false" outlineLevel="0" collapsed="false">
      <c r="A32" s="5" t="s">
        <v>51</v>
      </c>
      <c r="B32" s="5" t="s">
        <v>46</v>
      </c>
      <c r="C32" s="6" t="n">
        <v>3000</v>
      </c>
      <c r="D32" s="7" t="n">
        <f aca="false">C32*0.05</f>
        <v>150</v>
      </c>
      <c r="E32" s="8" t="n">
        <f aca="false">C32*1.05</f>
        <v>3150</v>
      </c>
      <c r="F32" s="5" t="s">
        <v>18</v>
      </c>
      <c r="G32" s="9"/>
    </row>
    <row r="33" customFormat="false" ht="15" hidden="false" customHeight="false" outlineLevel="0" collapsed="false">
      <c r="A33" s="5" t="s">
        <v>52</v>
      </c>
      <c r="B33" s="5" t="s">
        <v>46</v>
      </c>
      <c r="C33" s="6" t="n">
        <v>3500</v>
      </c>
      <c r="D33" s="7" t="n">
        <f aca="false">C33*0.05</f>
        <v>175</v>
      </c>
      <c r="E33" s="8" t="n">
        <f aca="false">C33*1.05</f>
        <v>3675</v>
      </c>
      <c r="F33" s="5" t="s">
        <v>18</v>
      </c>
      <c r="G33" s="9"/>
    </row>
    <row r="34" customFormat="false" ht="15" hidden="false" customHeight="false" outlineLevel="0" collapsed="false">
      <c r="A34" s="5" t="s">
        <v>53</v>
      </c>
      <c r="B34" s="5" t="s">
        <v>46</v>
      </c>
      <c r="C34" s="6" t="n">
        <v>1000</v>
      </c>
      <c r="D34" s="7" t="n">
        <f aca="false">C34*0.05</f>
        <v>50</v>
      </c>
      <c r="E34" s="8" t="n">
        <f aca="false">C34*1.05</f>
        <v>1050</v>
      </c>
      <c r="F34" s="5" t="s">
        <v>18</v>
      </c>
      <c r="G34" s="9"/>
    </row>
    <row r="35" customFormat="false" ht="15" hidden="false" customHeight="false" outlineLevel="0" collapsed="false">
      <c r="A35" s="5" t="s">
        <v>54</v>
      </c>
      <c r="B35" s="5" t="s">
        <v>46</v>
      </c>
      <c r="C35" s="6" t="n">
        <v>1000</v>
      </c>
      <c r="D35" s="7" t="n">
        <f aca="false">C35*0.05</f>
        <v>50</v>
      </c>
      <c r="E35" s="8" t="n">
        <f aca="false">C35*1.05</f>
        <v>1050</v>
      </c>
      <c r="F35" s="5" t="s">
        <v>18</v>
      </c>
      <c r="G35" s="9"/>
    </row>
    <row r="36" customFormat="false" ht="18" hidden="false" customHeight="true" outlineLevel="0" collapsed="false">
      <c r="A36" s="4" t="s">
        <v>55</v>
      </c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5" t="s">
        <v>56</v>
      </c>
      <c r="B37" s="5" t="s">
        <v>55</v>
      </c>
      <c r="C37" s="6" t="n">
        <v>80</v>
      </c>
      <c r="D37" s="7" t="n">
        <f aca="false">C37*0.05</f>
        <v>4</v>
      </c>
      <c r="E37" s="8" t="n">
        <f aca="false">C37*1.05</f>
        <v>84</v>
      </c>
      <c r="F37" s="5" t="s">
        <v>18</v>
      </c>
      <c r="G37" s="9"/>
    </row>
    <row r="38" customFormat="false" ht="15" hidden="false" customHeight="false" outlineLevel="0" collapsed="false">
      <c r="A38" s="5" t="s">
        <v>57</v>
      </c>
      <c r="B38" s="5" t="s">
        <v>55</v>
      </c>
      <c r="C38" s="6" t="n">
        <v>215</v>
      </c>
      <c r="D38" s="7" t="n">
        <f aca="false">C38*0.05</f>
        <v>10.75</v>
      </c>
      <c r="E38" s="8" t="n">
        <f aca="false">C38*1.05</f>
        <v>225.75</v>
      </c>
      <c r="F38" s="5" t="s">
        <v>18</v>
      </c>
      <c r="G38" s="9"/>
    </row>
    <row r="40" customFormat="false" ht="15" hidden="false" customHeight="false" outlineLevel="0" collapsed="false">
      <c r="A40" s="10" t="s">
        <v>58</v>
      </c>
      <c r="B40" s="10"/>
      <c r="C40" s="11" t="n">
        <f aca="false">SUM(C4:C38)</f>
        <v>37995</v>
      </c>
      <c r="D40" s="11" t="n">
        <f aca="false">SUM(D4:D38)</f>
        <v>1899.75</v>
      </c>
      <c r="E40" s="12" t="n">
        <f aca="false">SUM(E4:E38)</f>
        <v>39894.75</v>
      </c>
    </row>
  </sheetData>
  <mergeCells count="8">
    <mergeCell ref="A1:G1"/>
    <mergeCell ref="A2:G2"/>
    <mergeCell ref="A4:G4"/>
    <mergeCell ref="A9:G9"/>
    <mergeCell ref="A17:G17"/>
    <mergeCell ref="A27:G27"/>
    <mergeCell ref="A36:G36"/>
    <mergeCell ref="A40:B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2026-06-10T02:01:04Z</dcterms:created>
  <dc:creator>openpyxl</dc:creator>
  <dc:description/>
  <dc:language>en-US</dc:language>
  <cp:lastModifiedBy/>
  <dcterms:modified xsi:type="dcterms:W3CDTF">2026-06-10T02:01:04Z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